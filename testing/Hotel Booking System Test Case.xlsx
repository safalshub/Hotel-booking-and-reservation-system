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510" tabRatio="500" activeTab="1"/>
  </bookViews>
  <sheets>
    <sheet name="Test Matrix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<sst xmlns="http://schemas.openxmlformats.org/spreadsheetml/2006/main" count="127" uniqueCount="91">
  <si>
    <t>Test ID</t>
  </si>
  <si>
    <t>Test Type</t>
  </si>
  <si>
    <t>Feature</t>
  </si>
  <si>
    <t>Test Objective</t>
  </si>
  <si>
    <t>Input</t>
  </si>
  <si>
    <t>Expected Output</t>
  </si>
  <si>
    <t>Actual Output</t>
  </si>
  <si>
    <t>Status</t>
  </si>
  <si>
    <t>Tested By</t>
  </si>
  <si>
    <t>TC01</t>
  </si>
  <si>
    <t>Unit</t>
  </si>
  <si>
    <t>Room Search</t>
  </si>
  <si>
    <t>Verify check-out date cannot be before check-in date</t>
  </si>
  <si>
    <t>Check-out date earlier than check-in date</t>
  </si>
  <si>
    <t>System displays validation error and blocks search</t>
  </si>
  <si>
    <t>Validation error displayed as expected</t>
  </si>
  <si>
    <t>Pass</t>
  </si>
  <si>
    <t>Nikita</t>
  </si>
  <si>
    <t>TC02</t>
  </si>
  <si>
    <t>Verify room type filter returns only matching rooms</t>
  </si>
  <si>
    <t>Room type = 'Deluxe'</t>
  </si>
  <si>
    <t>Only Deluxe rooms shown in results</t>
  </si>
  <si>
    <t>Only Deluxe rooms shown</t>
  </si>
  <si>
    <t>TC03</t>
  </si>
  <si>
    <t>Payment</t>
  </si>
  <si>
    <t>Verify payment form rejects invalid card number</t>
  </si>
  <si>
    <t>Card number with 12 digits (invalid length)</t>
  </si>
  <si>
    <t>System shows 'Invalid card number' error</t>
  </si>
  <si>
    <t>Error shown as expected</t>
  </si>
  <si>
    <t>TC04</t>
  </si>
  <si>
    <t>Integration</t>
  </si>
  <si>
    <t>Booking + Payment</t>
  </si>
  <si>
    <t>Verify booking status updates to Confirmed after successful payment</t>
  </si>
  <si>
    <t>Valid room selection, valid payment details</t>
  </si>
  <si>
    <t>Booking status changes from Pending to Confirmed</t>
  </si>
  <si>
    <t>Status updated to Confirmed</t>
  </si>
  <si>
    <t>TC05</t>
  </si>
  <si>
    <t>Booking + Room Inventory</t>
  </si>
  <si>
    <t>Verify room becomes unavailable once booked</t>
  </si>
  <si>
    <t>Book Room 101 for Aug 20-22</t>
  </si>
  <si>
    <t>Room 101 no longer appears in search results for those dates</t>
  </si>
  <si>
    <t>Room 101 excluded from results</t>
  </si>
  <si>
    <t>TC06</t>
  </si>
  <si>
    <t>Cancellation + Refund</t>
  </si>
  <si>
    <t>Verify cancelling a booking triggers a refund request</t>
  </si>
  <si>
    <t>Cancel a confirmed booking with completed payment</t>
  </si>
  <si>
    <t>Refund status set to 'Requested', booking marked Cancelled</t>
  </si>
  <si>
    <t>Refund requested, booking cancelled</t>
  </si>
  <si>
    <t>TC07</t>
  </si>
  <si>
    <t>System</t>
  </si>
  <si>
    <t>End-to-End Booking Flow</t>
  </si>
  <si>
    <t>Verify a guest can complete the full booking journey</t>
  </si>
  <si>
    <t>Search rooms -&gt; select room -&gt; enter details -&gt; pay -&gt; confirm</t>
  </si>
  <si>
    <t>Guest receives booking confirmation with reference number</t>
  </si>
  <si>
    <t>Confirmation displayed with reference number</t>
  </si>
  <si>
    <t>TC08</t>
  </si>
  <si>
    <t>Admin Room Management</t>
  </si>
  <si>
    <t>Verify admin can add a new room and it appears in guest search</t>
  </si>
  <si>
    <t>Admin adds new room 'Suite 305', then guest searches</t>
  </si>
  <si>
    <t>New room appears in guest-facing search results</t>
  </si>
  <si>
    <t>Suite 305 appeared in search</t>
  </si>
  <si>
    <t>TC09</t>
  </si>
  <si>
    <t>Booking History</t>
  </si>
  <si>
    <t>Verify guest can view all past and upcoming bookings</t>
  </si>
  <si>
    <t>Guest with 2 past bookings and 1 upcoming logs in</t>
  </si>
  <si>
    <t>All 3 bookings listed with correct status labels</t>
  </si>
  <si>
    <t>All 3 bookings listed correctly</t>
  </si>
  <si>
    <t>TC10</t>
  </si>
  <si>
    <t>User Acceptance</t>
  </si>
  <si>
    <t>Guest Booking Experience</t>
  </si>
  <si>
    <t>Verify a first-time guest can book a room without confusion</t>
  </si>
  <si>
    <t>New guest given task: 'Book a room for 2 nights next weekend'</t>
  </si>
  <si>
    <t>Guest completes booking within 3 steps, rates experience as easy</t>
  </si>
  <si>
    <t>Completed in 3 steps, rated 'Easy'</t>
  </si>
  <si>
    <t>TC11</t>
  </si>
  <si>
    <t>Cancellation Experience</t>
  </si>
  <si>
    <t>Verify a guest can self-cancel a booking without contacting support</t>
  </si>
  <si>
    <t>Guest given task: 'Cancel your upcoming booking'</t>
  </si>
  <si>
    <t>Guest cancels successfully without needing help</t>
  </si>
  <si>
    <t>Cancelled successfully, no support needed</t>
  </si>
  <si>
    <t>TC12</t>
  </si>
  <si>
    <t>Admin Dashboard Usability</t>
  </si>
  <si>
    <t>Verify admin can locate and update a room's status within 1 minute</t>
  </si>
  <si>
    <t>Admin given task: 'Mark Room 204 as under maintenance'</t>
  </si>
  <si>
    <t>Task completed within 1 minute</t>
  </si>
  <si>
    <t>Completed in 45 seconds</t>
  </si>
  <si>
    <t>Test Execution Summary</t>
  </si>
  <si>
    <t>Total Cases</t>
  </si>
  <si>
    <t>Passed</t>
  </si>
  <si>
    <t>Failed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</si>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</sst>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8">
    <font>
      <sz val="11"/>
      <color theme="1"/>
      <name val="Calibri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D0E0E3"/>
      </patternFill>
    </fill>
    <fill>
      <patternFill patternType="solid">
        <fgColor rgb="FFD0E0E3"/>
        <bgColor rgb="FFD9EAD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EAD1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D0E0E3"/>
      <rgbColor rgb="00660066"/>
      <rgbColor rgb="00FF8080"/>
      <rgbColor rgb="000066CC"/>
      <rgbColor rgb="00D9D2E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9EAD3"/>
      <rgbColor rgb="00FFFF99"/>
      <rgbColor rgb="0099CCFF"/>
      <rgbColor rgb="00FF99CC"/>
      <rgbColor rgb="00CC99FF"/>
      <rgbColor rgb="00EAD1D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zoomScale="68" zoomScaleNormal="68" workbookViewId="0">
      <pane ySplit="1" topLeftCell="A4" activePane="bottomLeft" state="frozen"/>
      <selection/>
      <selection pane="bottomLeft" activeCell="N7" sqref="N7"/>
    </sheetView>
  </sheetViews>
  <sheetFormatPr defaultColWidth="8.68181818181818" defaultRowHeight="14.5"/>
  <cols>
    <col min="1" max="1" width="8" customWidth="1"/>
    <col min="2" max="2" width="14" customWidth="1"/>
    <col min="3" max="3" width="22" customWidth="1"/>
    <col min="4" max="4" width="38" customWidth="1"/>
    <col min="5" max="5" width="34" customWidth="1"/>
    <col min="6" max="6" width="38" customWidth="1"/>
    <col min="7" max="7" width="30" customWidth="1"/>
    <col min="8" max="8" width="10" customWidth="1"/>
    <col min="9" max="9" width="12" customWidth="1"/>
  </cols>
  <sheetData>
    <row r="1" ht="31.5" customHeight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ht="43.5" customHeight="1" spans="1:9">
      <c r="A2" s="6" t="s">
        <v>9</v>
      </c>
      <c r="B2" s="7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8" t="s">
        <v>16</v>
      </c>
      <c r="I2" s="6" t="s">
        <v>17</v>
      </c>
    </row>
    <row r="3" ht="43.5" customHeight="1" spans="1:9">
      <c r="A3" s="6" t="s">
        <v>18</v>
      </c>
      <c r="B3" s="7" t="s">
        <v>10</v>
      </c>
      <c r="C3" s="6" t="s">
        <v>11</v>
      </c>
      <c r="D3" s="6" t="s">
        <v>19</v>
      </c>
      <c r="E3" s="6" t="s">
        <v>20</v>
      </c>
      <c r="F3" s="6" t="s">
        <v>21</v>
      </c>
      <c r="G3" s="6" t="s">
        <v>22</v>
      </c>
      <c r="H3" s="8" t="s">
        <v>16</v>
      </c>
      <c r="I3" s="6" t="s">
        <v>17</v>
      </c>
    </row>
    <row r="4" ht="43.5" customHeight="1" spans="1:9">
      <c r="A4" s="6" t="s">
        <v>23</v>
      </c>
      <c r="B4" s="7" t="s">
        <v>10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8" t="s">
        <v>16</v>
      </c>
      <c r="I4" s="6" t="s">
        <v>17</v>
      </c>
    </row>
    <row r="5" ht="43.5" customHeight="1" spans="1:9">
      <c r="A5" s="6" t="s">
        <v>29</v>
      </c>
      <c r="B5" s="9" t="s">
        <v>30</v>
      </c>
      <c r="C5" s="6" t="s">
        <v>31</v>
      </c>
      <c r="D5" s="6" t="s">
        <v>32</v>
      </c>
      <c r="E5" s="6" t="s">
        <v>33</v>
      </c>
      <c r="F5" s="6" t="s">
        <v>34</v>
      </c>
      <c r="G5" s="6" t="s">
        <v>35</v>
      </c>
      <c r="H5" s="8" t="s">
        <v>16</v>
      </c>
      <c r="I5" s="6" t="s">
        <v>17</v>
      </c>
    </row>
    <row r="6" ht="43.5" customHeight="1" spans="1:9">
      <c r="A6" s="6" t="s">
        <v>36</v>
      </c>
      <c r="B6" s="9" t="s">
        <v>30</v>
      </c>
      <c r="C6" s="6" t="s">
        <v>37</v>
      </c>
      <c r="D6" s="6" t="s">
        <v>38</v>
      </c>
      <c r="E6" s="6" t="s">
        <v>39</v>
      </c>
      <c r="F6" s="6" t="s">
        <v>40</v>
      </c>
      <c r="G6" s="6" t="s">
        <v>41</v>
      </c>
      <c r="H6" s="8" t="s">
        <v>16</v>
      </c>
      <c r="I6" s="6" t="s">
        <v>17</v>
      </c>
    </row>
    <row r="7" ht="43.5" customHeight="1" spans="1:9">
      <c r="A7" s="6" t="s">
        <v>42</v>
      </c>
      <c r="B7" s="9" t="s">
        <v>30</v>
      </c>
      <c r="C7" s="6" t="s">
        <v>43</v>
      </c>
      <c r="D7" s="6" t="s">
        <v>44</v>
      </c>
      <c r="E7" s="6" t="s">
        <v>45</v>
      </c>
      <c r="F7" s="6" t="s">
        <v>46</v>
      </c>
      <c r="G7" s="6" t="s">
        <v>47</v>
      </c>
      <c r="H7" s="8" t="s">
        <v>16</v>
      </c>
      <c r="I7" s="6" t="s">
        <v>17</v>
      </c>
    </row>
    <row r="8" ht="43.5" customHeight="1" spans="1:9">
      <c r="A8" s="6" t="s">
        <v>48</v>
      </c>
      <c r="B8" s="10" t="s">
        <v>49</v>
      </c>
      <c r="C8" s="6" t="s">
        <v>50</v>
      </c>
      <c r="D8" s="6" t="s">
        <v>51</v>
      </c>
      <c r="E8" s="6" t="s">
        <v>52</v>
      </c>
      <c r="F8" s="6" t="s">
        <v>53</v>
      </c>
      <c r="G8" s="6" t="s">
        <v>54</v>
      </c>
      <c r="H8" s="8" t="s">
        <v>16</v>
      </c>
      <c r="I8" s="6" t="s">
        <v>17</v>
      </c>
    </row>
    <row r="9" ht="43.5" customHeight="1" spans="1:9">
      <c r="A9" s="6" t="s">
        <v>55</v>
      </c>
      <c r="B9" s="10" t="s">
        <v>49</v>
      </c>
      <c r="C9" s="6" t="s">
        <v>56</v>
      </c>
      <c r="D9" s="6" t="s">
        <v>57</v>
      </c>
      <c r="E9" s="6" t="s">
        <v>58</v>
      </c>
      <c r="F9" s="6" t="s">
        <v>59</v>
      </c>
      <c r="G9" s="6" t="s">
        <v>60</v>
      </c>
      <c r="H9" s="8" t="s">
        <v>16</v>
      </c>
      <c r="I9" s="6" t="s">
        <v>17</v>
      </c>
    </row>
    <row r="10" ht="43.5" customHeight="1" spans="1:9">
      <c r="A10" s="6" t="s">
        <v>61</v>
      </c>
      <c r="B10" s="10" t="s">
        <v>49</v>
      </c>
      <c r="C10" s="6" t="s">
        <v>62</v>
      </c>
      <c r="D10" s="6" t="s">
        <v>63</v>
      </c>
      <c r="E10" s="6" t="s">
        <v>64</v>
      </c>
      <c r="F10" s="6" t="s">
        <v>65</v>
      </c>
      <c r="G10" s="6" t="s">
        <v>66</v>
      </c>
      <c r="H10" s="8" t="s">
        <v>16</v>
      </c>
      <c r="I10" s="6" t="s">
        <v>17</v>
      </c>
    </row>
    <row r="11" ht="43.5" customHeight="1" spans="1:9">
      <c r="A11" s="6" t="s">
        <v>67</v>
      </c>
      <c r="B11" s="11" t="s">
        <v>68</v>
      </c>
      <c r="C11" s="6" t="s">
        <v>69</v>
      </c>
      <c r="D11" s="6" t="s">
        <v>70</v>
      </c>
      <c r="E11" s="6" t="s">
        <v>71</v>
      </c>
      <c r="F11" s="6" t="s">
        <v>72</v>
      </c>
      <c r="G11" s="6" t="s">
        <v>73</v>
      </c>
      <c r="H11" s="8" t="s">
        <v>16</v>
      </c>
      <c r="I11" s="6" t="s">
        <v>17</v>
      </c>
    </row>
    <row r="12" ht="43.5" customHeight="1" spans="1:9">
      <c r="A12" s="6" t="s">
        <v>74</v>
      </c>
      <c r="B12" s="11" t="s">
        <v>68</v>
      </c>
      <c r="C12" s="6" t="s">
        <v>75</v>
      </c>
      <c r="D12" s="6" t="s">
        <v>76</v>
      </c>
      <c r="E12" s="6" t="s">
        <v>77</v>
      </c>
      <c r="F12" s="6" t="s">
        <v>78</v>
      </c>
      <c r="G12" s="6" t="s">
        <v>79</v>
      </c>
      <c r="H12" s="8" t="s">
        <v>16</v>
      </c>
      <c r="I12" s="6" t="s">
        <v>17</v>
      </c>
    </row>
    <row r="13" ht="43.5" customHeight="1" spans="1:9">
      <c r="A13" s="6" t="s">
        <v>80</v>
      </c>
      <c r="B13" s="11" t="s">
        <v>68</v>
      </c>
      <c r="C13" s="6" t="s">
        <v>81</v>
      </c>
      <c r="D13" s="6" t="s">
        <v>82</v>
      </c>
      <c r="E13" s="6" t="s">
        <v>83</v>
      </c>
      <c r="F13" s="6" t="s">
        <v>84</v>
      </c>
      <c r="G13" s="6" t="s">
        <v>85</v>
      </c>
      <c r="H13" s="8" t="s">
        <v>16</v>
      </c>
      <c r="I13" s="6" t="s">
        <v>17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E10" sqref="E10"/>
    </sheetView>
  </sheetViews>
  <sheetFormatPr defaultColWidth="8.68181818181818" defaultRowHeight="14.5" outlineLevelRow="7" outlineLevelCol="3"/>
  <cols>
    <col min="1" max="1" width="32.7272727272727" customWidth="1"/>
    <col min="2" max="4" width="18" customWidth="1"/>
  </cols>
  <sheetData>
    <row r="1" ht="18" spans="1:4">
      <c r="A1" s="1" t="s">
        <v>86</v>
      </c>
    </row>
    <row r="3" spans="1:4">
      <c r="A3" s="2" t="s">
        <v>1</v>
      </c>
      <c r="B3" s="2" t="s">
        <v>87</v>
      </c>
      <c r="C3" s="2" t="s">
        <v>88</v>
      </c>
      <c r="D3" s="2" t="s">
        <v>89</v>
      </c>
    </row>
    <row r="4" spans="1:4">
      <c r="A4" s="3" t="s">
        <v>10</v>
      </c>
      <c r="B4">
        <f>COUNTIF('Test Matrix'!B:B,A4)</f>
        <v>3</v>
      </c>
      <c r="C4">
        <f>COUNTIFS('Test Matrix'!B:B,A4,'Test Matrix'!H:H,"Pass")</f>
        <v>3</v>
      </c>
      <c r="D4">
        <f>COUNTIFS('Test Matrix'!B:B,A4,'Test Matrix'!H:H,"Fail")</f>
        <v>0</v>
      </c>
    </row>
    <row r="5" spans="1:4">
      <c r="A5" s="3" t="s">
        <v>30</v>
      </c>
      <c r="B5">
        <f>COUNTIF('Test Matrix'!B:B,A5)</f>
        <v>3</v>
      </c>
      <c r="C5">
        <f>COUNTIFS('Test Matrix'!B:B,A5,'Test Matrix'!H:H,"Pass")</f>
        <v>3</v>
      </c>
      <c r="D5">
        <f>COUNTIFS('Test Matrix'!B:B,A5,'Test Matrix'!H:H,"Fail")</f>
        <v>0</v>
      </c>
    </row>
    <row r="6" spans="1:4">
      <c r="A6" s="3" t="s">
        <v>49</v>
      </c>
      <c r="B6">
        <f>COUNTIF('Test Matrix'!B:B,A6)</f>
        <v>3</v>
      </c>
      <c r="C6">
        <f>COUNTIFS('Test Matrix'!B:B,A6,'Test Matrix'!H:H,"Pass")</f>
        <v>3</v>
      </c>
      <c r="D6">
        <f>COUNTIFS('Test Matrix'!B:B,A6,'Test Matrix'!H:H,"Fail")</f>
        <v>0</v>
      </c>
    </row>
    <row r="7" spans="1:4">
      <c r="A7" s="3" t="s">
        <v>68</v>
      </c>
      <c r="B7">
        <f>COUNTIF('Test Matrix'!B:B,A7)</f>
        <v>3</v>
      </c>
      <c r="C7">
        <f>COUNTIFS('Test Matrix'!B:B,A7,'Test Matrix'!H:H,"Pass")</f>
        <v>3</v>
      </c>
      <c r="D7">
        <f>COUNTIFS('Test Matrix'!B:B,A7,'Test Matrix'!H:H,"Fail")</f>
        <v>0</v>
      </c>
    </row>
    <row r="8" spans="1:4">
      <c r="A8" s="4" t="s">
        <v>90</v>
      </c>
      <c r="B8" s="4">
        <f>SUM(B4:B7)</f>
        <v>12</v>
      </c>
      <c r="C8" s="4">
        <f>SUM(C4:C7)</f>
        <v>12</v>
      </c>
      <c r="D8" s="4">
        <f>SUM(D4:D7)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Matrix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prakriti acharya</cp:lastModifiedBy>
  <cp:revision>0</cp:revision>
  <dcterms:created xsi:type="dcterms:W3CDTF">2026-08-18T07:41:00Z</dcterms:created>
  <dcterms:modified xsi:type="dcterms:W3CDTF">2026-08-18T08:01:54Z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17B83B6CA3844536A6F2B7677F1ED039_12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